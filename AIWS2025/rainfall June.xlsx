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Summary\Summary 2025\June\AIWS\"/>
    </mc:Choice>
  </mc:AlternateContent>
  <xr:revisionPtr revIDLastSave="0" documentId="13_ncr:1_{FCD6486B-2C5E-46B3-B3E6-433D322AC4C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Ju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1" l="1"/>
  <c r="G25" i="1"/>
  <c r="G26" i="1"/>
  <c r="G27" i="1"/>
  <c r="G28" i="1"/>
  <c r="G29" i="1"/>
  <c r="G30" i="1"/>
  <c r="G31" i="1"/>
  <c r="C25" i="1"/>
  <c r="C26" i="1"/>
  <c r="C27" i="1"/>
  <c r="C28" i="1" s="1"/>
  <c r="C29" i="1" s="1"/>
  <c r="C30" i="1" s="1"/>
  <c r="C31" i="1" s="1"/>
  <c r="F31" i="1"/>
  <c r="F30" i="1"/>
  <c r="F29" i="1"/>
  <c r="F28" i="1"/>
  <c r="F27" i="1"/>
  <c r="F26" i="1"/>
  <c r="F25" i="1"/>
  <c r="G24" i="1" l="1"/>
  <c r="C24" i="1"/>
  <c r="F24" i="1"/>
  <c r="G23" i="1" l="1"/>
  <c r="C23" i="1"/>
  <c r="F23" i="1"/>
  <c r="G22" i="1"/>
  <c r="C22" i="1"/>
  <c r="F22" i="1"/>
  <c r="G21" i="1" l="1"/>
  <c r="C21" i="1"/>
  <c r="F21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</calcChain>
</file>

<file path=xl/sharedStrings.xml><?xml version="1.0" encoding="utf-8"?>
<sst xmlns="http://schemas.openxmlformats.org/spreadsheetml/2006/main" count="10" uniqueCount="10">
  <si>
    <t>Date</t>
  </si>
  <si>
    <t>cumulative rf</t>
  </si>
  <si>
    <t>daily rainfall</t>
  </si>
  <si>
    <t>* daily normal was calculated by subtracting previous days value from cumulative normal rf</t>
  </si>
  <si>
    <t>**daily departure is calculated from these daily normals.</t>
  </si>
  <si>
    <t>daily departure</t>
  </si>
  <si>
    <t>NO OF DAYS &gt;=2.5</t>
  </si>
  <si>
    <t>Monthly departure</t>
  </si>
  <si>
    <r>
      <rPr>
        <b/>
        <sz val="11"/>
        <color theme="1"/>
        <rFont val="Calibri"/>
        <family val="2"/>
        <scheme val="minor"/>
      </rPr>
      <t>cumulative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NORMAL</t>
    </r>
  </si>
  <si>
    <r>
      <rPr>
        <b/>
        <sz val="11"/>
        <color theme="1"/>
        <rFont val="Calibri"/>
        <family val="2"/>
        <scheme val="minor"/>
      </rPr>
      <t>daily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NORMAL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</si>
</sst>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[Red]0.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ont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3">
    <dxf>
      <font>
        <color theme="8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A35" sqref="A35:B35"/>
    </sheetView>
  </sheetViews>
  <sheetFormatPr defaultRowHeight="15" x14ac:dyDescent="0.25"/>
  <cols>
    <col min="1" max="1" width="20.42578125" customWidth="1"/>
    <col min="2" max="2" width="17.140625" customWidth="1"/>
    <col min="3" max="3" width="18.42578125" customWidth="1"/>
    <col min="4" max="4" width="19.42578125" customWidth="1"/>
    <col min="5" max="5" width="15.42578125" customWidth="1"/>
    <col min="6" max="6" width="16.5703125" customWidth="1"/>
    <col min="7" max="7" width="21.42578125" customWidth="1"/>
  </cols>
  <sheetData>
    <row r="1" spans="1:11" x14ac:dyDescent="0.25">
      <c r="A1" t="s">
        <v>0</v>
      </c>
      <c r="B1" s="8" t="s">
        <v>2</v>
      </c>
      <c r="C1" s="8" t="s">
        <v>1</v>
      </c>
      <c r="D1" t="s">
        <v>8</v>
      </c>
      <c r="E1" t="s">
        <v>9</v>
      </c>
      <c r="F1" s="8" t="s">
        <v>5</v>
      </c>
      <c r="G1" s="8" t="s">
        <v>7</v>
      </c>
    </row>
    <row r="2" spans="1:11" x14ac:dyDescent="0.25">
      <c r="A2" s="1">
        <v>45809</v>
      </c>
      <c r="B2" s="5">
        <v>0</v>
      </c>
      <c r="C2" s="2">
        <v>0</v>
      </c>
      <c r="D2">
        <v>3.7</v>
      </c>
      <c r="E2" s="2">
        <v>3.7</v>
      </c>
      <c r="F2" s="2">
        <f>(B2-E2)</f>
        <v>-3.7</v>
      </c>
      <c r="G2" s="4">
        <f>C2-D2</f>
        <v>-3.7</v>
      </c>
    </row>
    <row r="3" spans="1:11" x14ac:dyDescent="0.25">
      <c r="A3" s="1">
        <v>45810</v>
      </c>
      <c r="B3" s="5">
        <v>1.2</v>
      </c>
      <c r="C3" s="2">
        <f xml:space="preserve"> B3+C2</f>
        <v>1.2</v>
      </c>
      <c r="D3">
        <v>6.4</v>
      </c>
      <c r="E3" s="2">
        <f>(D3-D2)</f>
        <v>2.7</v>
      </c>
      <c r="F3" s="2">
        <f t="shared" ref="F3:F31" si="0">(B3-E3)</f>
        <v>-1.5000000000000002</v>
      </c>
      <c r="G3" s="4">
        <f t="shared" ref="G3:G31" si="1">C3-D3</f>
        <v>-5.2</v>
      </c>
    </row>
    <row r="4" spans="1:11" x14ac:dyDescent="0.25">
      <c r="A4" s="1">
        <v>45811</v>
      </c>
      <c r="B4" s="5">
        <v>0</v>
      </c>
      <c r="C4" s="2">
        <f t="shared" ref="C4:C31" si="2" xml:space="preserve"> B4+C3</f>
        <v>1.2</v>
      </c>
      <c r="D4">
        <v>10.9</v>
      </c>
      <c r="E4" s="2">
        <f t="shared" ref="E4:E31" si="3">(D4-D3)</f>
        <v>4.5</v>
      </c>
      <c r="F4" s="2">
        <f t="shared" si="0"/>
        <v>-4.5</v>
      </c>
      <c r="G4" s="4">
        <f t="shared" si="1"/>
        <v>-9.7000000000000011</v>
      </c>
      <c r="K4" t="s">
        <v>3</v>
      </c>
    </row>
    <row r="5" spans="1:11" x14ac:dyDescent="0.25">
      <c r="A5" s="1">
        <v>45812</v>
      </c>
      <c r="B5" s="5">
        <v>0</v>
      </c>
      <c r="C5" s="2">
        <f t="shared" si="2"/>
        <v>1.2</v>
      </c>
      <c r="D5">
        <v>15</v>
      </c>
      <c r="E5" s="2">
        <f t="shared" si="3"/>
        <v>4.0999999999999996</v>
      </c>
      <c r="F5" s="2">
        <f t="shared" si="0"/>
        <v>-4.0999999999999996</v>
      </c>
      <c r="G5" s="4">
        <f t="shared" si="1"/>
        <v>-13.8</v>
      </c>
      <c r="K5" t="s">
        <v>4</v>
      </c>
    </row>
    <row r="6" spans="1:11" x14ac:dyDescent="0.25">
      <c r="A6" s="1">
        <v>45813</v>
      </c>
      <c r="B6" s="5">
        <v>16.7</v>
      </c>
      <c r="C6" s="2">
        <f t="shared" si="2"/>
        <v>17.899999999999999</v>
      </c>
      <c r="D6">
        <v>21.1</v>
      </c>
      <c r="E6" s="2">
        <f t="shared" si="3"/>
        <v>6.1000000000000014</v>
      </c>
      <c r="F6" s="2">
        <f t="shared" si="0"/>
        <v>10.599999999999998</v>
      </c>
      <c r="G6" s="4">
        <f t="shared" si="1"/>
        <v>-3.2000000000000028</v>
      </c>
    </row>
    <row r="7" spans="1:11" x14ac:dyDescent="0.25">
      <c r="A7" s="1">
        <v>45814</v>
      </c>
      <c r="B7" s="5">
        <v>0</v>
      </c>
      <c r="C7" s="2">
        <f t="shared" si="2"/>
        <v>17.899999999999999</v>
      </c>
      <c r="D7">
        <v>27.6</v>
      </c>
      <c r="E7" s="2">
        <f t="shared" si="3"/>
        <v>6.5</v>
      </c>
      <c r="F7" s="2">
        <f t="shared" si="0"/>
        <v>-6.5</v>
      </c>
      <c r="G7" s="4">
        <f t="shared" si="1"/>
        <v>-9.7000000000000028</v>
      </c>
    </row>
    <row r="8" spans="1:11" x14ac:dyDescent="0.25">
      <c r="A8" s="1">
        <v>45815</v>
      </c>
      <c r="B8" s="5">
        <v>15.2</v>
      </c>
      <c r="C8" s="2">
        <f t="shared" si="2"/>
        <v>33.099999999999994</v>
      </c>
      <c r="D8">
        <v>36.6</v>
      </c>
      <c r="E8" s="2">
        <f t="shared" si="3"/>
        <v>9</v>
      </c>
      <c r="F8" s="2">
        <f t="shared" si="0"/>
        <v>6.1999999999999993</v>
      </c>
      <c r="G8" s="4">
        <f t="shared" si="1"/>
        <v>-3.5000000000000071</v>
      </c>
    </row>
    <row r="9" spans="1:11" x14ac:dyDescent="0.25">
      <c r="A9" s="1">
        <v>45816</v>
      </c>
      <c r="B9" s="5">
        <v>5</v>
      </c>
      <c r="C9" s="2">
        <f t="shared" si="2"/>
        <v>38.099999999999994</v>
      </c>
      <c r="D9">
        <v>44.5</v>
      </c>
      <c r="E9" s="2">
        <f t="shared" si="3"/>
        <v>7.8999999999999986</v>
      </c>
      <c r="F9" s="2">
        <f t="shared" si="0"/>
        <v>-2.8999999999999986</v>
      </c>
      <c r="G9" s="4">
        <f t="shared" si="1"/>
        <v>-6.4000000000000057</v>
      </c>
    </row>
    <row r="10" spans="1:11" x14ac:dyDescent="0.25">
      <c r="A10" s="1">
        <v>45817</v>
      </c>
      <c r="B10" s="5">
        <v>0</v>
      </c>
      <c r="C10" s="2">
        <f t="shared" si="2"/>
        <v>38.099999999999994</v>
      </c>
      <c r="D10">
        <v>49.7</v>
      </c>
      <c r="E10" s="2">
        <f t="shared" si="3"/>
        <v>5.2000000000000028</v>
      </c>
      <c r="F10" s="2">
        <f t="shared" si="0"/>
        <v>-5.2000000000000028</v>
      </c>
      <c r="G10" s="4">
        <f t="shared" si="1"/>
        <v>-11.600000000000009</v>
      </c>
    </row>
    <row r="11" spans="1:11" x14ac:dyDescent="0.25">
      <c r="A11" s="1">
        <v>45818</v>
      </c>
      <c r="B11" s="5">
        <v>0</v>
      </c>
      <c r="C11" s="2">
        <f t="shared" si="2"/>
        <v>38.099999999999994</v>
      </c>
      <c r="D11">
        <v>53.7</v>
      </c>
      <c r="E11" s="2">
        <f t="shared" si="3"/>
        <v>4</v>
      </c>
      <c r="F11" s="2">
        <f t="shared" si="0"/>
        <v>-4</v>
      </c>
      <c r="G11" s="4">
        <f t="shared" si="1"/>
        <v>-15.600000000000009</v>
      </c>
    </row>
    <row r="12" spans="1:11" x14ac:dyDescent="0.25">
      <c r="A12" s="1">
        <v>45819</v>
      </c>
      <c r="B12" s="5">
        <v>0</v>
      </c>
      <c r="C12" s="2">
        <f t="shared" si="2"/>
        <v>38.099999999999994</v>
      </c>
      <c r="D12">
        <v>56.6</v>
      </c>
      <c r="E12" s="2">
        <f t="shared" si="3"/>
        <v>2.8999999999999986</v>
      </c>
      <c r="F12" s="2">
        <f t="shared" si="0"/>
        <v>-2.8999999999999986</v>
      </c>
      <c r="G12" s="4">
        <f t="shared" si="1"/>
        <v>-18.500000000000007</v>
      </c>
    </row>
    <row r="13" spans="1:11" x14ac:dyDescent="0.25">
      <c r="A13" s="1">
        <v>45820</v>
      </c>
      <c r="B13" s="5">
        <v>5.3</v>
      </c>
      <c r="C13" s="2">
        <f t="shared" si="2"/>
        <v>43.399999999999991</v>
      </c>
      <c r="D13">
        <v>62.3</v>
      </c>
      <c r="E13" s="2">
        <f t="shared" si="3"/>
        <v>5.6999999999999957</v>
      </c>
      <c r="F13" s="2">
        <f t="shared" si="0"/>
        <v>-0.39999999999999591</v>
      </c>
      <c r="G13" s="4">
        <f t="shared" si="1"/>
        <v>-18.900000000000006</v>
      </c>
    </row>
    <row r="14" spans="1:11" x14ac:dyDescent="0.25">
      <c r="A14" s="1">
        <v>45821</v>
      </c>
      <c r="B14" s="5">
        <v>25.8</v>
      </c>
      <c r="C14" s="2">
        <f t="shared" si="2"/>
        <v>69.199999999999989</v>
      </c>
      <c r="D14">
        <v>66.400000000000006</v>
      </c>
      <c r="E14" s="2">
        <f t="shared" si="3"/>
        <v>4.1000000000000085</v>
      </c>
      <c r="F14" s="2">
        <f t="shared" si="0"/>
        <v>21.699999999999992</v>
      </c>
      <c r="G14" s="4">
        <f t="shared" si="1"/>
        <v>2.7999999999999829</v>
      </c>
    </row>
    <row r="15" spans="1:11" x14ac:dyDescent="0.25">
      <c r="A15" s="1">
        <v>45822</v>
      </c>
      <c r="B15" s="5">
        <v>63.4</v>
      </c>
      <c r="C15" s="2">
        <f t="shared" si="2"/>
        <v>132.6</v>
      </c>
      <c r="D15">
        <v>71</v>
      </c>
      <c r="E15" s="2">
        <f t="shared" si="3"/>
        <v>4.5999999999999943</v>
      </c>
      <c r="F15" s="2">
        <f t="shared" si="0"/>
        <v>58.800000000000004</v>
      </c>
      <c r="G15" s="4">
        <f t="shared" si="1"/>
        <v>61.599999999999994</v>
      </c>
    </row>
    <row r="16" spans="1:11" x14ac:dyDescent="0.25">
      <c r="A16" s="1">
        <v>45823</v>
      </c>
      <c r="B16" s="5">
        <v>0.3</v>
      </c>
      <c r="C16" s="2">
        <f t="shared" si="2"/>
        <v>132.9</v>
      </c>
      <c r="D16">
        <v>79.099999999999994</v>
      </c>
      <c r="E16" s="2">
        <f t="shared" si="3"/>
        <v>8.0999999999999943</v>
      </c>
      <c r="F16" s="2">
        <f t="shared" si="0"/>
        <v>-7.7999999999999945</v>
      </c>
      <c r="G16" s="4">
        <f t="shared" si="1"/>
        <v>53.800000000000011</v>
      </c>
    </row>
    <row r="17" spans="1:7" x14ac:dyDescent="0.25">
      <c r="A17" s="1">
        <v>45824</v>
      </c>
      <c r="B17" s="5">
        <v>30.6</v>
      </c>
      <c r="C17" s="2">
        <f t="shared" si="2"/>
        <v>163.5</v>
      </c>
      <c r="D17">
        <v>85.9</v>
      </c>
      <c r="E17" s="2">
        <f t="shared" si="3"/>
        <v>6.8000000000000114</v>
      </c>
      <c r="F17" s="2">
        <f t="shared" si="0"/>
        <v>23.79999999999999</v>
      </c>
      <c r="G17" s="4">
        <f t="shared" si="1"/>
        <v>77.599999999999994</v>
      </c>
    </row>
    <row r="18" spans="1:7" x14ac:dyDescent="0.25">
      <c r="A18" s="1">
        <v>45825</v>
      </c>
      <c r="B18" s="5">
        <v>9.4</v>
      </c>
      <c r="C18" s="2">
        <f t="shared" si="2"/>
        <v>172.9</v>
      </c>
      <c r="D18">
        <v>89.7</v>
      </c>
      <c r="E18" s="2">
        <f t="shared" si="3"/>
        <v>3.7999999999999972</v>
      </c>
      <c r="F18" s="2">
        <f t="shared" si="0"/>
        <v>5.6000000000000032</v>
      </c>
      <c r="G18" s="4">
        <f t="shared" si="1"/>
        <v>83.2</v>
      </c>
    </row>
    <row r="19" spans="1:7" x14ac:dyDescent="0.25">
      <c r="A19" s="1">
        <v>45826</v>
      </c>
      <c r="B19" s="5">
        <v>6</v>
      </c>
      <c r="C19" s="2">
        <f t="shared" si="2"/>
        <v>178.9</v>
      </c>
      <c r="D19">
        <v>92</v>
      </c>
      <c r="E19" s="2">
        <f t="shared" si="3"/>
        <v>2.2999999999999972</v>
      </c>
      <c r="F19" s="2">
        <f t="shared" si="0"/>
        <v>3.7000000000000028</v>
      </c>
      <c r="G19" s="4">
        <f t="shared" si="1"/>
        <v>86.9</v>
      </c>
    </row>
    <row r="20" spans="1:7" x14ac:dyDescent="0.25">
      <c r="A20" s="1">
        <v>45827</v>
      </c>
      <c r="B20" s="5">
        <v>31.3</v>
      </c>
      <c r="C20" s="2">
        <f t="shared" si="2"/>
        <v>210.20000000000002</v>
      </c>
      <c r="D20">
        <v>96.3</v>
      </c>
      <c r="E20" s="2">
        <f t="shared" si="3"/>
        <v>4.2999999999999972</v>
      </c>
      <c r="F20" s="2">
        <f t="shared" si="0"/>
        <v>27.000000000000004</v>
      </c>
      <c r="G20" s="4">
        <f t="shared" si="1"/>
        <v>113.90000000000002</v>
      </c>
    </row>
    <row r="21" spans="1:7" x14ac:dyDescent="0.25">
      <c r="A21" s="1">
        <v>45828</v>
      </c>
      <c r="B21" s="5">
        <v>25.4</v>
      </c>
      <c r="C21" s="2">
        <f t="shared" si="2"/>
        <v>235.60000000000002</v>
      </c>
      <c r="D21">
        <v>101.2</v>
      </c>
      <c r="E21" s="2">
        <f t="shared" si="3"/>
        <v>4.9000000000000057</v>
      </c>
      <c r="F21" s="2">
        <f t="shared" si="0"/>
        <v>20.499999999999993</v>
      </c>
      <c r="G21" s="4">
        <f t="shared" si="1"/>
        <v>134.40000000000003</v>
      </c>
    </row>
    <row r="22" spans="1:7" x14ac:dyDescent="0.25">
      <c r="A22" s="1">
        <v>45829</v>
      </c>
      <c r="B22" s="6">
        <v>2.6</v>
      </c>
      <c r="C22" s="2">
        <f t="shared" si="2"/>
        <v>238.20000000000002</v>
      </c>
      <c r="D22">
        <v>106</v>
      </c>
      <c r="E22" s="2">
        <f t="shared" si="3"/>
        <v>4.7999999999999972</v>
      </c>
      <c r="F22" s="3">
        <f t="shared" si="0"/>
        <v>-2.1999999999999971</v>
      </c>
      <c r="G22" s="4">
        <f t="shared" si="1"/>
        <v>132.20000000000002</v>
      </c>
    </row>
    <row r="23" spans="1:7" x14ac:dyDescent="0.25">
      <c r="A23" s="1">
        <v>45830</v>
      </c>
      <c r="B23" s="6">
        <v>2.9</v>
      </c>
      <c r="C23" s="2">
        <f t="shared" si="2"/>
        <v>241.10000000000002</v>
      </c>
      <c r="D23">
        <v>108.7</v>
      </c>
      <c r="E23" s="2">
        <f t="shared" si="3"/>
        <v>2.7000000000000028</v>
      </c>
      <c r="F23" s="3">
        <f t="shared" si="0"/>
        <v>0.19999999999999707</v>
      </c>
      <c r="G23" s="4">
        <f t="shared" si="1"/>
        <v>132.40000000000003</v>
      </c>
    </row>
    <row r="24" spans="1:7" x14ac:dyDescent="0.25">
      <c r="A24" s="1">
        <v>45831</v>
      </c>
      <c r="B24" s="5">
        <v>0.6</v>
      </c>
      <c r="C24" s="2">
        <f t="shared" si="2"/>
        <v>241.70000000000002</v>
      </c>
      <c r="D24">
        <v>115.2</v>
      </c>
      <c r="E24" s="2">
        <f t="shared" si="3"/>
        <v>6.5</v>
      </c>
      <c r="F24" s="3">
        <f t="shared" si="0"/>
        <v>-5.9</v>
      </c>
      <c r="G24" s="4">
        <f t="shared" si="1"/>
        <v>126.50000000000001</v>
      </c>
    </row>
    <row r="25" spans="1:7" x14ac:dyDescent="0.25">
      <c r="A25" s="1">
        <v>45832</v>
      </c>
      <c r="B25" s="5">
        <v>18.100000000000001</v>
      </c>
      <c r="C25" s="2">
        <f t="shared" si="2"/>
        <v>259.8</v>
      </c>
      <c r="D25">
        <v>119.1</v>
      </c>
      <c r="E25" s="2">
        <f t="shared" si="3"/>
        <v>3.8999999999999915</v>
      </c>
      <c r="F25" s="3">
        <f t="shared" si="0"/>
        <v>14.20000000000001</v>
      </c>
      <c r="G25" s="4">
        <f t="shared" si="1"/>
        <v>140.70000000000002</v>
      </c>
    </row>
    <row r="26" spans="1:7" x14ac:dyDescent="0.25">
      <c r="A26" s="1">
        <v>45833</v>
      </c>
      <c r="B26" s="5">
        <v>0.9</v>
      </c>
      <c r="C26" s="2">
        <f t="shared" si="2"/>
        <v>260.7</v>
      </c>
      <c r="D26">
        <v>123.3</v>
      </c>
      <c r="E26" s="2">
        <f t="shared" si="3"/>
        <v>4.2000000000000028</v>
      </c>
      <c r="F26" s="3">
        <f t="shared" si="0"/>
        <v>-3.3000000000000029</v>
      </c>
      <c r="G26" s="4">
        <f t="shared" si="1"/>
        <v>137.39999999999998</v>
      </c>
    </row>
    <row r="27" spans="1:7" x14ac:dyDescent="0.25">
      <c r="A27" s="1">
        <v>45834</v>
      </c>
      <c r="B27" s="5">
        <v>0</v>
      </c>
      <c r="C27" s="2">
        <f t="shared" si="2"/>
        <v>260.7</v>
      </c>
      <c r="D27">
        <v>128.9</v>
      </c>
      <c r="E27" s="2">
        <f t="shared" si="3"/>
        <v>5.6000000000000085</v>
      </c>
      <c r="F27" s="3">
        <f t="shared" si="0"/>
        <v>-5.6000000000000085</v>
      </c>
      <c r="G27" s="4">
        <f t="shared" si="1"/>
        <v>131.79999999999998</v>
      </c>
    </row>
    <row r="28" spans="1:7" x14ac:dyDescent="0.25">
      <c r="A28" s="1">
        <v>45835</v>
      </c>
      <c r="B28" s="5">
        <v>0.4</v>
      </c>
      <c r="C28" s="2">
        <f t="shared" si="2"/>
        <v>261.09999999999997</v>
      </c>
      <c r="D28">
        <v>135.5</v>
      </c>
      <c r="E28" s="2">
        <f t="shared" si="3"/>
        <v>6.5999999999999943</v>
      </c>
      <c r="F28" s="3">
        <f t="shared" si="0"/>
        <v>-6.199999999999994</v>
      </c>
      <c r="G28" s="4">
        <f t="shared" si="1"/>
        <v>125.59999999999997</v>
      </c>
    </row>
    <row r="29" spans="1:7" x14ac:dyDescent="0.25">
      <c r="A29" s="1">
        <v>45836</v>
      </c>
      <c r="B29" s="5">
        <v>1.5</v>
      </c>
      <c r="C29" s="2">
        <f t="shared" si="2"/>
        <v>262.59999999999997</v>
      </c>
      <c r="D29">
        <v>139.5</v>
      </c>
      <c r="E29" s="2">
        <f t="shared" si="3"/>
        <v>4</v>
      </c>
      <c r="F29" s="3">
        <f t="shared" si="0"/>
        <v>-2.5</v>
      </c>
      <c r="G29" s="4">
        <f t="shared" si="1"/>
        <v>123.09999999999997</v>
      </c>
    </row>
    <row r="30" spans="1:7" x14ac:dyDescent="0.25">
      <c r="A30" s="1">
        <v>45837</v>
      </c>
      <c r="B30" s="5">
        <v>2.9</v>
      </c>
      <c r="C30" s="2">
        <f t="shared" si="2"/>
        <v>265.49999999999994</v>
      </c>
      <c r="D30">
        <v>145.9</v>
      </c>
      <c r="E30" s="2">
        <f t="shared" si="3"/>
        <v>6.4000000000000057</v>
      </c>
      <c r="F30" s="3">
        <f t="shared" si="0"/>
        <v>-3.5000000000000058</v>
      </c>
      <c r="G30" s="4">
        <f t="shared" si="1"/>
        <v>119.59999999999994</v>
      </c>
    </row>
    <row r="31" spans="1:7" x14ac:dyDescent="0.25">
      <c r="A31" s="1">
        <v>45838</v>
      </c>
      <c r="B31" s="5">
        <v>2</v>
      </c>
      <c r="C31" s="2">
        <f t="shared" si="2"/>
        <v>267.49999999999994</v>
      </c>
      <c r="D31">
        <v>152.9</v>
      </c>
      <c r="E31" s="2">
        <f t="shared" si="3"/>
        <v>7</v>
      </c>
      <c r="F31" s="3">
        <f t="shared" si="0"/>
        <v>-5</v>
      </c>
      <c r="G31" s="4">
        <f t="shared" si="1"/>
        <v>114.59999999999994</v>
      </c>
    </row>
    <row r="32" spans="1:7" x14ac:dyDescent="0.25">
      <c r="A32" s="1"/>
      <c r="B32" s="2"/>
      <c r="C32" s="3"/>
      <c r="D32" s="3"/>
      <c r="E32" s="3"/>
      <c r="F32" s="3"/>
    </row>
    <row r="33" spans="1:2" x14ac:dyDescent="0.25">
      <c r="A33" s="1"/>
    </row>
    <row r="35" spans="1:2" x14ac:dyDescent="0.25">
      <c r="A35" s="7" t="s">
        <v>6</v>
      </c>
      <c r="B35" s="7">
        <f>COUNTIF(B2:B31,"&gt;=2.5")</f>
        <v>15</v>
      </c>
    </row>
  </sheetData>
  <conditionalFormatting sqref="B2:B31">
    <cfRule type="cellIs" dxfId="2" priority="3" operator="greaterThan">
      <formula>2.5</formula>
    </cfRule>
    <cfRule type="cellIs" dxfId="1" priority="2" operator="lessThan">
      <formula>2.5</formula>
    </cfRule>
  </conditionalFormatting>
  <conditionalFormatting sqref="K21">
    <cfRule type="cellIs" dxfId="0" priority="1" operator="greaterThan">
      <formula>2.5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wfd</dc:creator>
  <cp:lastModifiedBy>Weather</cp:lastModifiedBy>
  <dcterms:created xsi:type="dcterms:W3CDTF">2015-06-05T18:17:20Z</dcterms:created>
  <dcterms:modified xsi:type="dcterms:W3CDTF">2025-07-01T11:02:17Z</dcterms:modified>
</cp:coreProperties>
</file>